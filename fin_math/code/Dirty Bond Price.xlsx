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rat\Documents\_Work Related\_My Books\Financial Math with Python\Figures and Other Material\"/>
    </mc:Choice>
  </mc:AlternateContent>
  <xr:revisionPtr revIDLastSave="0" documentId="13_ncr:1_{B293F3E9-F922-428F-9A86-2DF83A40CF79}" xr6:coauthVersionLast="45" xr6:coauthVersionMax="45" xr10:uidLastSave="{00000000-0000-0000-0000-000000000000}"/>
  <bookViews>
    <workbookView xWindow="1950" yWindow="1950" windowWidth="17985" windowHeight="11385" activeTab="1" xr2:uid="{0289904B-8866-4020-9687-75402C54CFB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S11" i="2" l="1"/>
  <c r="AR11" i="2"/>
  <c r="AQ11" i="2"/>
  <c r="AP11" i="2"/>
  <c r="AO11" i="2"/>
  <c r="AN11" i="2"/>
  <c r="AM11" i="2"/>
  <c r="AL11" i="2"/>
  <c r="AJ11" i="2"/>
  <c r="AI11" i="2"/>
  <c r="AH11" i="2"/>
  <c r="AG11" i="2"/>
  <c r="AF11" i="2"/>
  <c r="AE11" i="2"/>
  <c r="AD11" i="2"/>
  <c r="AC11" i="2"/>
  <c r="AA11" i="2"/>
  <c r="Z11" i="2"/>
  <c r="Y11" i="2"/>
  <c r="X11" i="2"/>
  <c r="W11" i="2"/>
  <c r="V11" i="2"/>
  <c r="U11" i="2"/>
  <c r="T11" i="2"/>
  <c r="R11" i="2"/>
  <c r="Q11" i="2"/>
  <c r="P11" i="2"/>
  <c r="O11" i="2"/>
  <c r="N11" i="2"/>
  <c r="M11" i="2"/>
  <c r="L11" i="2"/>
  <c r="K11" i="2"/>
  <c r="I11" i="2"/>
  <c r="H11" i="2"/>
  <c r="G11" i="2"/>
  <c r="F11" i="2"/>
  <c r="E11" i="2"/>
  <c r="D11" i="2"/>
  <c r="C11" i="2"/>
  <c r="B11" i="2"/>
  <c r="A11" i="2"/>
  <c r="I6" i="2"/>
  <c r="H6" i="2"/>
  <c r="G6" i="2"/>
  <c r="F6" i="2"/>
  <c r="E6" i="2"/>
  <c r="D6" i="2"/>
  <c r="C6" i="2"/>
  <c r="B6" i="2"/>
  <c r="I5" i="2"/>
  <c r="H5" i="2"/>
  <c r="G5" i="2"/>
  <c r="F5" i="2"/>
  <c r="E5" i="2"/>
  <c r="D5" i="2"/>
  <c r="C5" i="2"/>
  <c r="B5" i="2"/>
  <c r="I4" i="2"/>
  <c r="H4" i="2"/>
  <c r="G4" i="2"/>
  <c r="F4" i="2"/>
  <c r="E4" i="2"/>
  <c r="D4" i="2"/>
  <c r="C4" i="2"/>
  <c r="B4" i="2"/>
  <c r="I3" i="2"/>
  <c r="H3" i="2"/>
  <c r="G3" i="2"/>
  <c r="F3" i="2"/>
  <c r="E3" i="2"/>
  <c r="D3" i="2"/>
  <c r="C3" i="2"/>
  <c r="B3" i="2"/>
  <c r="I2" i="2"/>
  <c r="H2" i="2"/>
  <c r="G2" i="2"/>
  <c r="F2" i="2"/>
  <c r="E2" i="2"/>
  <c r="D2" i="2"/>
  <c r="C2" i="2"/>
  <c r="B2" i="2"/>
  <c r="I8" i="2"/>
  <c r="H8" i="2"/>
  <c r="G8" i="2"/>
  <c r="F8" i="2"/>
  <c r="E8" i="2"/>
  <c r="D8" i="2"/>
  <c r="C8" i="2"/>
  <c r="B8" i="2"/>
  <c r="A8" i="2"/>
  <c r="I1" i="2"/>
  <c r="H1" i="2"/>
  <c r="G1" i="2"/>
  <c r="F1" i="2"/>
  <c r="E1" i="2"/>
  <c r="D1" i="2"/>
  <c r="C1" i="2"/>
  <c r="B1" i="2"/>
  <c r="A2" i="2"/>
  <c r="AS9" i="1" l="1"/>
  <c r="AR9" i="1"/>
  <c r="AQ9" i="1"/>
  <c r="AP9" i="1"/>
  <c r="AO9" i="1"/>
  <c r="AN9" i="1"/>
  <c r="AM9" i="1"/>
  <c r="AL9" i="1"/>
  <c r="AJ9" i="1"/>
  <c r="AI9" i="1"/>
  <c r="AH9" i="1"/>
  <c r="AG9" i="1"/>
  <c r="AF9" i="1"/>
  <c r="AE9" i="1"/>
  <c r="AD9" i="1"/>
  <c r="AC9" i="1"/>
  <c r="AA9" i="1"/>
  <c r="Z9" i="1"/>
  <c r="Y9" i="1"/>
  <c r="X9" i="1"/>
  <c r="W9" i="1"/>
  <c r="V9" i="1"/>
  <c r="U9" i="1"/>
  <c r="T9" i="1"/>
  <c r="R9" i="1"/>
  <c r="Q9" i="1"/>
  <c r="P9" i="1"/>
  <c r="O9" i="1"/>
  <c r="N9" i="1"/>
  <c r="M9" i="1"/>
  <c r="L9" i="1"/>
  <c r="K9" i="1"/>
  <c r="I9" i="1"/>
  <c r="H9" i="1"/>
  <c r="G9" i="1"/>
  <c r="F9" i="1"/>
  <c r="E9" i="1"/>
  <c r="D9" i="1"/>
  <c r="C9" i="1"/>
  <c r="B9" i="1"/>
  <c r="A9" i="1"/>
  <c r="K4" i="1"/>
  <c r="K5" i="1"/>
  <c r="K6" i="1"/>
  <c r="K3" i="1"/>
  <c r="I6" i="1"/>
  <c r="H6" i="1"/>
  <c r="G6" i="1"/>
  <c r="F6" i="1"/>
  <c r="E6" i="1"/>
  <c r="D6" i="1"/>
  <c r="C6" i="1"/>
  <c r="B6" i="1"/>
  <c r="I5" i="1"/>
  <c r="H5" i="1"/>
  <c r="G5" i="1"/>
  <c r="F5" i="1"/>
  <c r="E5" i="1"/>
  <c r="D5" i="1"/>
  <c r="C5" i="1"/>
  <c r="B5" i="1"/>
  <c r="I4" i="1"/>
  <c r="H4" i="1"/>
  <c r="G4" i="1"/>
  <c r="F4" i="1"/>
  <c r="E4" i="1"/>
  <c r="D4" i="1"/>
  <c r="C4" i="1"/>
  <c r="B4" i="1"/>
  <c r="I3" i="1"/>
  <c r="H3" i="1"/>
  <c r="G3" i="1"/>
  <c r="F3" i="1"/>
  <c r="E3" i="1"/>
  <c r="D3" i="1"/>
  <c r="C3" i="1"/>
  <c r="B3" i="1"/>
  <c r="I2" i="1"/>
  <c r="H2" i="1"/>
  <c r="G2" i="1"/>
  <c r="F2" i="1"/>
  <c r="E2" i="1"/>
  <c r="D2" i="1"/>
  <c r="C2" i="1"/>
  <c r="B2" i="1"/>
  <c r="I1" i="1"/>
  <c r="A2" i="1" l="1"/>
  <c r="H1" i="1"/>
  <c r="G1" i="1"/>
  <c r="F1" i="1"/>
  <c r="E1" i="1"/>
  <c r="D1" i="1"/>
  <c r="C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39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Dirty Bond Price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Sheet1!$A$8:$AS$8</c:f>
              <c:numCache>
                <c:formatCode>General</c:formatCode>
                <c:ptCount val="45"/>
                <c:pt idx="0">
                  <c:v>0</c:v>
                </c:pt>
                <c:pt idx="9">
                  <c:v>1</c:v>
                </c:pt>
                <c:pt idx="18">
                  <c:v>2</c:v>
                </c:pt>
                <c:pt idx="27">
                  <c:v>3</c:v>
                </c:pt>
                <c:pt idx="36">
                  <c:v>4</c:v>
                </c:pt>
              </c:numCache>
            </c:numRef>
          </c:cat>
          <c:val>
            <c:numRef>
              <c:f>Sheet1!$A$9:$AS$9</c:f>
              <c:numCache>
                <c:formatCode>0.00</c:formatCode>
                <c:ptCount val="45"/>
                <c:pt idx="0">
                  <c:v>9146.1200000000008</c:v>
                </c:pt>
                <c:pt idx="1">
                  <c:v>9155.3232832500016</c:v>
                </c:pt>
                <c:pt idx="2">
                  <c:v>9164.5265665000006</c:v>
                </c:pt>
                <c:pt idx="3">
                  <c:v>9173.7298497500014</c:v>
                </c:pt>
                <c:pt idx="4">
                  <c:v>9182.9331330000005</c:v>
                </c:pt>
                <c:pt idx="5">
                  <c:v>9192.1364162500013</c:v>
                </c:pt>
                <c:pt idx="6">
                  <c:v>9201.3396995000003</c:v>
                </c:pt>
                <c:pt idx="7">
                  <c:v>9210.5429827500011</c:v>
                </c:pt>
                <c:pt idx="8">
                  <c:v>9219.7462660000001</c:v>
                </c:pt>
                <c:pt idx="9" formatCode="#,##0.00">
                  <c:v>9157.24</c:v>
                </c:pt>
                <c:pt idx="10" formatCode="#,##0.00">
                  <c:v>9166.4544727500015</c:v>
                </c:pt>
                <c:pt idx="11" formatCode="#,##0.00">
                  <c:v>9175.6689454999996</c:v>
                </c:pt>
                <c:pt idx="12" formatCode="#,##0.00">
                  <c:v>9184.8834182499995</c:v>
                </c:pt>
                <c:pt idx="13" formatCode="#,##0.00">
                  <c:v>9194.0978909999994</c:v>
                </c:pt>
                <c:pt idx="14" formatCode="#,##0.00">
                  <c:v>9203.3123637499993</c:v>
                </c:pt>
                <c:pt idx="15" formatCode="#,##0.00">
                  <c:v>9212.5268364999993</c:v>
                </c:pt>
                <c:pt idx="16" formatCode="#,##0.00">
                  <c:v>9221.7413092499992</c:v>
                </c:pt>
                <c:pt idx="17" formatCode="#,##0.00">
                  <c:v>9230.9557819999991</c:v>
                </c:pt>
                <c:pt idx="18" formatCode="#,##0.00">
                  <c:v>9168.4599999999991</c:v>
                </c:pt>
                <c:pt idx="19" formatCode="#,##0.00">
                  <c:v>9177.6857628750004</c:v>
                </c:pt>
                <c:pt idx="20" formatCode="#,##0.00">
                  <c:v>9186.9115257499998</c:v>
                </c:pt>
                <c:pt idx="21" formatCode="#,##0.00">
                  <c:v>9196.1372886249992</c:v>
                </c:pt>
                <c:pt idx="22" formatCode="#,##0.00">
                  <c:v>9205.3630514999986</c:v>
                </c:pt>
                <c:pt idx="23" formatCode="#,##0.00">
                  <c:v>9214.5888143749999</c:v>
                </c:pt>
                <c:pt idx="24" formatCode="#,##0.00">
                  <c:v>9223.8145772499993</c:v>
                </c:pt>
                <c:pt idx="25" formatCode="#,##0.00">
                  <c:v>9233.0403401249987</c:v>
                </c:pt>
                <c:pt idx="26" formatCode="#,##0.00">
                  <c:v>9242.2661029999981</c:v>
                </c:pt>
                <c:pt idx="27" formatCode="#,##0.00">
                  <c:v>9179.76</c:v>
                </c:pt>
                <c:pt idx="28" formatCode="#,##0.00">
                  <c:v>9188.9971335000009</c:v>
                </c:pt>
                <c:pt idx="29" formatCode="#,##0.00">
                  <c:v>9198.2342669999998</c:v>
                </c:pt>
                <c:pt idx="30" formatCode="#,##0.00">
                  <c:v>9207.4714005000005</c:v>
                </c:pt>
                <c:pt idx="31" formatCode="#,##0.00">
                  <c:v>9216.7085339999994</c:v>
                </c:pt>
                <c:pt idx="32" formatCode="#,##0.00">
                  <c:v>9225.9456675000001</c:v>
                </c:pt>
                <c:pt idx="33" formatCode="#,##0.00">
                  <c:v>9235.182800999999</c:v>
                </c:pt>
                <c:pt idx="34" formatCode="#,##0.00">
                  <c:v>9244.4199344999997</c:v>
                </c:pt>
                <c:pt idx="35" formatCode="#,##0.00">
                  <c:v>9253.6570679999986</c:v>
                </c:pt>
                <c:pt idx="36" formatCode="#,##0.00">
                  <c:v>9191.16</c:v>
                </c:pt>
                <c:pt idx="37" formatCode="#,##0.00">
                  <c:v>9200.4086047500004</c:v>
                </c:pt>
                <c:pt idx="38" formatCode="#,##0.00">
                  <c:v>9209.6572094999992</c:v>
                </c:pt>
                <c:pt idx="39" formatCode="#,##0.00">
                  <c:v>9218.9058142499998</c:v>
                </c:pt>
                <c:pt idx="40" formatCode="#,##0.00">
                  <c:v>9228.1544189999986</c:v>
                </c:pt>
                <c:pt idx="41" formatCode="#,##0.00">
                  <c:v>9237.403023750001</c:v>
                </c:pt>
                <c:pt idx="42" formatCode="#,##0.00">
                  <c:v>9246.6516284999998</c:v>
                </c:pt>
                <c:pt idx="43" formatCode="#,##0.00">
                  <c:v>9255.9002332500004</c:v>
                </c:pt>
                <c:pt idx="44" formatCode="#,##0.00">
                  <c:v>9265.1488379999992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A-4D0F-A50D-CFA9139F5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543536"/>
        <c:axId val="374186672"/>
      </c:lineChart>
      <c:catAx>
        <c:axId val="46554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86672"/>
        <c:crosses val="autoZero"/>
        <c:auto val="1"/>
        <c:lblAlgn val="ctr"/>
        <c:lblOffset val="100"/>
        <c:noMultiLvlLbl val="0"/>
      </c:catAx>
      <c:valAx>
        <c:axId val="37418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4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Clean Bond Price</a:t>
            </a:r>
            <a:r>
              <a:rPr lang="en-US" baseline="0"/>
              <a:t>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Sheet2!$A$10:$AS$10</c:f>
              <c:numCache>
                <c:formatCode>General</c:formatCode>
                <c:ptCount val="45"/>
                <c:pt idx="0">
                  <c:v>0</c:v>
                </c:pt>
                <c:pt idx="9">
                  <c:v>1</c:v>
                </c:pt>
                <c:pt idx="18">
                  <c:v>2</c:v>
                </c:pt>
                <c:pt idx="27">
                  <c:v>3</c:v>
                </c:pt>
                <c:pt idx="36">
                  <c:v>4</c:v>
                </c:pt>
              </c:numCache>
            </c:numRef>
          </c:cat>
          <c:val>
            <c:numRef>
              <c:f>Sheet2!$A$11:$AS$11</c:f>
              <c:numCache>
                <c:formatCode>0.00</c:formatCode>
                <c:ptCount val="45"/>
                <c:pt idx="0">
                  <c:v>9146.1200000000008</c:v>
                </c:pt>
                <c:pt idx="1">
                  <c:v>9147.5107832500016</c:v>
                </c:pt>
                <c:pt idx="2">
                  <c:v>9148.9015665000006</c:v>
                </c:pt>
                <c:pt idx="3">
                  <c:v>9150.2923497500014</c:v>
                </c:pt>
                <c:pt idx="4">
                  <c:v>9151.6831330000005</c:v>
                </c:pt>
                <c:pt idx="5">
                  <c:v>9153.0739162500013</c:v>
                </c:pt>
                <c:pt idx="6">
                  <c:v>9154.4646995000003</c:v>
                </c:pt>
                <c:pt idx="7">
                  <c:v>9155.8554827500011</c:v>
                </c:pt>
                <c:pt idx="8">
                  <c:v>9157.2462660000001</c:v>
                </c:pt>
                <c:pt idx="9">
                  <c:v>9157.24</c:v>
                </c:pt>
                <c:pt idx="10">
                  <c:v>9158.6419727500015</c:v>
                </c:pt>
                <c:pt idx="11">
                  <c:v>9160.0439454999996</c:v>
                </c:pt>
                <c:pt idx="12">
                  <c:v>9161.4459182499995</c:v>
                </c:pt>
                <c:pt idx="13">
                  <c:v>9162.8478909999994</c:v>
                </c:pt>
                <c:pt idx="14">
                  <c:v>9164.2498637499993</c:v>
                </c:pt>
                <c:pt idx="15">
                  <c:v>9165.6518364999993</c:v>
                </c:pt>
                <c:pt idx="16">
                  <c:v>9167.0538092499992</c:v>
                </c:pt>
                <c:pt idx="17">
                  <c:v>9168.4557819999991</c:v>
                </c:pt>
                <c:pt idx="18">
                  <c:v>9168.4599999999991</c:v>
                </c:pt>
                <c:pt idx="19">
                  <c:v>9169.8732628750004</c:v>
                </c:pt>
                <c:pt idx="20">
                  <c:v>9171.2865257499998</c:v>
                </c:pt>
                <c:pt idx="21">
                  <c:v>9172.6997886249992</c:v>
                </c:pt>
                <c:pt idx="22">
                  <c:v>9174.1130514999986</c:v>
                </c:pt>
                <c:pt idx="23">
                  <c:v>9175.5263143749999</c:v>
                </c:pt>
                <c:pt idx="24">
                  <c:v>9176.9395772499993</c:v>
                </c:pt>
                <c:pt idx="25">
                  <c:v>9178.3528401249987</c:v>
                </c:pt>
                <c:pt idx="26">
                  <c:v>9179.7661029999981</c:v>
                </c:pt>
                <c:pt idx="27">
                  <c:v>9179.76</c:v>
                </c:pt>
                <c:pt idx="28">
                  <c:v>9181.1846335000009</c:v>
                </c:pt>
                <c:pt idx="29">
                  <c:v>9182.6092669999998</c:v>
                </c:pt>
                <c:pt idx="30">
                  <c:v>9184.0339005000005</c:v>
                </c:pt>
                <c:pt idx="31">
                  <c:v>9185.4585339999994</c:v>
                </c:pt>
                <c:pt idx="32">
                  <c:v>9186.8831675000001</c:v>
                </c:pt>
                <c:pt idx="33">
                  <c:v>9188.307800999999</c:v>
                </c:pt>
                <c:pt idx="34">
                  <c:v>9189.7324344999997</c:v>
                </c:pt>
                <c:pt idx="35">
                  <c:v>9191.1570679999986</c:v>
                </c:pt>
                <c:pt idx="36">
                  <c:v>9191.16</c:v>
                </c:pt>
                <c:pt idx="37">
                  <c:v>9192.5961047500004</c:v>
                </c:pt>
                <c:pt idx="38">
                  <c:v>9194.0322094999992</c:v>
                </c:pt>
                <c:pt idx="39">
                  <c:v>9195.4683142499998</c:v>
                </c:pt>
                <c:pt idx="40">
                  <c:v>9196.9044189999986</c:v>
                </c:pt>
                <c:pt idx="41">
                  <c:v>9198.340523750001</c:v>
                </c:pt>
                <c:pt idx="42">
                  <c:v>9199.7766284999998</c:v>
                </c:pt>
                <c:pt idx="43">
                  <c:v>9201.2127332500004</c:v>
                </c:pt>
                <c:pt idx="44">
                  <c:v>9202.6488379999992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B-4452-8AD0-6A5FEC47B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7960056"/>
        <c:axId val="657963256"/>
      </c:lineChart>
      <c:catAx>
        <c:axId val="657960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63256"/>
        <c:crosses val="autoZero"/>
        <c:auto val="1"/>
        <c:lblAlgn val="ctr"/>
        <c:lblOffset val="100"/>
        <c:noMultiLvlLbl val="0"/>
      </c:catAx>
      <c:valAx>
        <c:axId val="65796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60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185737</xdr:rowOff>
    </xdr:from>
    <xdr:to>
      <xdr:col>7</xdr:col>
      <xdr:colOff>523875</xdr:colOff>
      <xdr:row>24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81C6F2-7A3C-4F65-88AE-D829A854A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</xdr:colOff>
      <xdr:row>13</xdr:row>
      <xdr:rowOff>0</xdr:rowOff>
    </xdr:from>
    <xdr:to>
      <xdr:col>6</xdr:col>
      <xdr:colOff>633412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C1061-E8F6-46AC-8EAF-5722FB6AC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333B-F1FA-4D4D-8E79-432DE6D0D52B}">
  <dimension ref="A1:AS9"/>
  <sheetViews>
    <sheetView workbookViewId="0">
      <selection activeCell="K16" sqref="K16"/>
    </sheetView>
  </sheetViews>
  <sheetFormatPr defaultRowHeight="15" x14ac:dyDescent="0.25"/>
  <cols>
    <col min="1" max="1" width="12.7109375" style="1" customWidth="1"/>
    <col min="2" max="3" width="11.42578125" style="1" customWidth="1"/>
    <col min="4" max="4" width="10.42578125" style="1" customWidth="1"/>
    <col min="5" max="8" width="9.140625" style="1"/>
    <col min="9" max="9" width="9.140625" style="1" customWidth="1"/>
    <col min="10" max="10" width="9.140625" style="1"/>
    <col min="11" max="11" width="9.140625" style="1" customWidth="1"/>
    <col min="12" max="16384" width="9.140625" style="1"/>
  </cols>
  <sheetData>
    <row r="1" spans="1:45" x14ac:dyDescent="0.25">
      <c r="A1" s="1">
        <v>1</v>
      </c>
      <c r="B1" s="1">
        <f>1+1*(23/184)*0.00805</f>
        <v>1.0010062500000001</v>
      </c>
      <c r="C1" s="1">
        <f>1+2*(23/184)*0.00805</f>
        <v>1.0020125</v>
      </c>
      <c r="D1" s="1">
        <f>1+3*(23/184)*0.00805</f>
        <v>1.0030187500000001</v>
      </c>
      <c r="E1" s="1">
        <f>1+4*(23/184)*0.00805</f>
        <v>1.0040249999999999</v>
      </c>
      <c r="F1" s="1">
        <f>1+5*(23/184)*0.00805</f>
        <v>1.00503125</v>
      </c>
      <c r="G1" s="1">
        <f>1+6*(23/184)*0.00805</f>
        <v>1.0060374999999999</v>
      </c>
      <c r="H1" s="1">
        <f>1+7*(23/184)*0.00805</f>
        <v>1.00704375</v>
      </c>
      <c r="I1" s="1">
        <f>1+8*(23/184)*0.00805</f>
        <v>1.0080499999999999</v>
      </c>
    </row>
    <row r="2" spans="1:45" x14ac:dyDescent="0.25">
      <c r="A2" s="3">
        <f>9146.12</f>
        <v>9146.1200000000008</v>
      </c>
      <c r="B2" s="3">
        <f>(1+1*(23/184)*0.00805)*(9146.12)</f>
        <v>9155.3232832500016</v>
      </c>
      <c r="C2" s="3">
        <f>(1+2*(23/184)*0.00805)*(9146.12)</f>
        <v>9164.5265665000006</v>
      </c>
      <c r="D2" s="3">
        <f>(1+3*(23/184)*0.00805)*(9146.12)</f>
        <v>9173.7298497500014</v>
      </c>
      <c r="E2" s="3">
        <f>(1+4*(23/184)*0.00805)*(9146.12)</f>
        <v>9182.9331330000005</v>
      </c>
      <c r="F2" s="3">
        <f>(1+5*(23/184)*0.00805)*(9146.12)</f>
        <v>9192.1364162500013</v>
      </c>
      <c r="G2" s="3">
        <f>(1+6*(23/184)*0.00805)*(9146.12)</f>
        <v>9201.3396995000003</v>
      </c>
      <c r="H2" s="3">
        <f>(1+7*(23/184)*0.00805)*(9146.12)</f>
        <v>9210.5429827500011</v>
      </c>
      <c r="I2" s="3">
        <f>(1+8*(23/184)*0.00805)*(9146.12)</f>
        <v>9219.7462660000001</v>
      </c>
    </row>
    <row r="3" spans="1:45" x14ac:dyDescent="0.25">
      <c r="A3" s="3">
        <v>9157.24</v>
      </c>
      <c r="B3" s="3">
        <f>(1+1*(23/184)*0.00805)*9157.24</f>
        <v>9166.4544727500015</v>
      </c>
      <c r="C3" s="3">
        <f>(1+2*(23/184)*0.00805)*9157.24</f>
        <v>9175.6689454999996</v>
      </c>
      <c r="D3" s="3">
        <f>(1+3*(23/184)*0.00805)*9157.24</f>
        <v>9184.8834182499995</v>
      </c>
      <c r="E3" s="3">
        <f>(1+4*(23/184)*0.00805)*9157.24</f>
        <v>9194.0978909999994</v>
      </c>
      <c r="F3" s="3">
        <f>(1+5*(23/184)*0.00805)*9157.24</f>
        <v>9203.3123637499993</v>
      </c>
      <c r="G3" s="3">
        <f>(1+6*(23/184)*0.00805)*9157.24</f>
        <v>9212.5268364999993</v>
      </c>
      <c r="H3" s="3">
        <f>(1+7*(23/184)*0.00805)*9157.24</f>
        <v>9221.7413092499992</v>
      </c>
      <c r="I3" s="3">
        <f>(1+8*(23/184)*0.00805)*9157.24</f>
        <v>9230.9557819999991</v>
      </c>
      <c r="K3" s="2">
        <f>I2-A3</f>
        <v>62.506266000000323</v>
      </c>
    </row>
    <row r="4" spans="1:45" x14ac:dyDescent="0.25">
      <c r="A4" s="3">
        <v>9168.4599999999991</v>
      </c>
      <c r="B4" s="3">
        <f>(1+1*(23/184)*0.00805)*9168.46</f>
        <v>9177.6857628750004</v>
      </c>
      <c r="C4" s="3">
        <f>(1+2*(23/184)*0.00805)*9168.46</f>
        <v>9186.9115257499998</v>
      </c>
      <c r="D4" s="3">
        <f>(1+3*(23/184)*0.00805)*9168.46</f>
        <v>9196.1372886249992</v>
      </c>
      <c r="E4" s="3">
        <f>(1+4*(23/184)*0.00805)*9168.46</f>
        <v>9205.3630514999986</v>
      </c>
      <c r="F4" s="3">
        <f>(1+5*(23/184)*0.00805)*9168.46</f>
        <v>9214.5888143749999</v>
      </c>
      <c r="G4" s="3">
        <f>(1+6*(23/184)*0.00805)*9168.46</f>
        <v>9223.8145772499993</v>
      </c>
      <c r="H4" s="3">
        <f>(1+7*(23/184)*0.00805)*9168.46</f>
        <v>9233.0403401249987</v>
      </c>
      <c r="I4" s="3">
        <f>(1+8*(23/184)*0.00805)*9168.46</f>
        <v>9242.2661029999981</v>
      </c>
      <c r="K4" s="2">
        <f>I3-A4</f>
        <v>62.495781999999963</v>
      </c>
    </row>
    <row r="5" spans="1:45" x14ac:dyDescent="0.25">
      <c r="A5" s="3">
        <v>9179.76</v>
      </c>
      <c r="B5" s="3">
        <f>(1+1*(23/184)*0.00805)*9179.76</f>
        <v>9188.9971335000009</v>
      </c>
      <c r="C5" s="3">
        <f>(1+2*(23/184)*0.00805)*9179.76</f>
        <v>9198.2342669999998</v>
      </c>
      <c r="D5" s="3">
        <f>(1+3*(23/184)*0.00805)*9179.76</f>
        <v>9207.4714005000005</v>
      </c>
      <c r="E5" s="3">
        <f>(1+4*(23/184)*0.00805)*9179.76</f>
        <v>9216.7085339999994</v>
      </c>
      <c r="F5" s="3">
        <f>(1+5*(23/184)*0.00805)*9179.76</f>
        <v>9225.9456675000001</v>
      </c>
      <c r="G5" s="3">
        <f>(1+6*(23/184)*0.00805)*9179.76</f>
        <v>9235.182800999999</v>
      </c>
      <c r="H5" s="3">
        <f>(1+7*(23/184)*0.00805)*9179.76</f>
        <v>9244.4199344999997</v>
      </c>
      <c r="I5" s="3">
        <f>(1+8*(23/184)*0.00805)*9179.76</f>
        <v>9253.6570679999986</v>
      </c>
      <c r="K5" s="2">
        <f>I4-A5</f>
        <v>62.506102999997893</v>
      </c>
    </row>
    <row r="6" spans="1:45" x14ac:dyDescent="0.25">
      <c r="A6" s="3">
        <v>9191.16</v>
      </c>
      <c r="B6" s="3">
        <f>(1+1*(23/184)*0.00805)*9191.16</f>
        <v>9200.4086047500004</v>
      </c>
      <c r="C6" s="3">
        <f>(1+2*(23/184)*0.00805)*9191.16</f>
        <v>9209.6572094999992</v>
      </c>
      <c r="D6" s="3">
        <f>(1+3*(23/184)*0.00805)*9191.16</f>
        <v>9218.9058142499998</v>
      </c>
      <c r="E6" s="3">
        <f>(1+4*(23/184)*0.00805)*9191.16</f>
        <v>9228.1544189999986</v>
      </c>
      <c r="F6" s="3">
        <f>(1+5*(23/184)*0.00805)*9191.16</f>
        <v>9237.403023750001</v>
      </c>
      <c r="G6" s="3">
        <f>(1+6*(23/184)*0.00805)*9191.16</f>
        <v>9246.6516284999998</v>
      </c>
      <c r="H6" s="3">
        <f>(1+7*(23/184)*0.00805)*9191.16</f>
        <v>9255.9002332500004</v>
      </c>
      <c r="I6" s="3">
        <f>(1+8*(23/184)*0.00805)*9191.16</f>
        <v>9265.1488379999992</v>
      </c>
      <c r="K6" s="2">
        <f>I5-A6</f>
        <v>62.497067999998762</v>
      </c>
    </row>
    <row r="8" spans="1:45" x14ac:dyDescent="0.25">
      <c r="A8" s="1">
        <v>0</v>
      </c>
      <c r="J8" s="1">
        <v>1</v>
      </c>
      <c r="S8" s="1">
        <v>2</v>
      </c>
      <c r="AB8" s="1">
        <v>3</v>
      </c>
      <c r="AK8" s="1">
        <v>4</v>
      </c>
    </row>
    <row r="9" spans="1:45" x14ac:dyDescent="0.25">
      <c r="A9" s="2">
        <f>9146.12</f>
        <v>9146.1200000000008</v>
      </c>
      <c r="B9" s="2">
        <f>(1+1*(23/184)*0.00805)*(9146.12)</f>
        <v>9155.3232832500016</v>
      </c>
      <c r="C9" s="2">
        <f>(1+2*(23/184)*0.00805)*(9146.12)</f>
        <v>9164.5265665000006</v>
      </c>
      <c r="D9" s="2">
        <f>(1+3*(23/184)*0.00805)*(9146.12)</f>
        <v>9173.7298497500014</v>
      </c>
      <c r="E9" s="2">
        <f>(1+4*(23/184)*0.00805)*(9146.12)</f>
        <v>9182.9331330000005</v>
      </c>
      <c r="F9" s="2">
        <f>(1+5*(23/184)*0.00805)*(9146.12)</f>
        <v>9192.1364162500013</v>
      </c>
      <c r="G9" s="2">
        <f>(1+6*(23/184)*0.00805)*(9146.12)</f>
        <v>9201.3396995000003</v>
      </c>
      <c r="H9" s="2">
        <f>(1+7*(23/184)*0.00805)*(9146.12)</f>
        <v>9210.5429827500011</v>
      </c>
      <c r="I9" s="2">
        <f>(1+8*(23/184)*0.00805)*(9146.12)</f>
        <v>9219.7462660000001</v>
      </c>
      <c r="J9" s="3">
        <v>9157.24</v>
      </c>
      <c r="K9" s="3">
        <f>(1+1*(23/184)*0.00805)*9157.24</f>
        <v>9166.4544727500015</v>
      </c>
      <c r="L9" s="3">
        <f>(1+2*(23/184)*0.00805)*9157.24</f>
        <v>9175.6689454999996</v>
      </c>
      <c r="M9" s="3">
        <f>(1+3*(23/184)*0.00805)*9157.24</f>
        <v>9184.8834182499995</v>
      </c>
      <c r="N9" s="3">
        <f>(1+4*(23/184)*0.00805)*9157.24</f>
        <v>9194.0978909999994</v>
      </c>
      <c r="O9" s="3">
        <f>(1+5*(23/184)*0.00805)*9157.24</f>
        <v>9203.3123637499993</v>
      </c>
      <c r="P9" s="3">
        <f>(1+6*(23/184)*0.00805)*9157.24</f>
        <v>9212.5268364999993</v>
      </c>
      <c r="Q9" s="3">
        <f>(1+7*(23/184)*0.00805)*9157.24</f>
        <v>9221.7413092499992</v>
      </c>
      <c r="R9" s="3">
        <f>(1+8*(23/184)*0.00805)*9157.24</f>
        <v>9230.9557819999991</v>
      </c>
      <c r="S9" s="3">
        <v>9168.4599999999991</v>
      </c>
      <c r="T9" s="3">
        <f>(1+1*(23/184)*0.00805)*9168.46</f>
        <v>9177.6857628750004</v>
      </c>
      <c r="U9" s="3">
        <f>(1+2*(23/184)*0.00805)*9168.46</f>
        <v>9186.9115257499998</v>
      </c>
      <c r="V9" s="3">
        <f>(1+3*(23/184)*0.00805)*9168.46</f>
        <v>9196.1372886249992</v>
      </c>
      <c r="W9" s="3">
        <f>(1+4*(23/184)*0.00805)*9168.46</f>
        <v>9205.3630514999986</v>
      </c>
      <c r="X9" s="3">
        <f>(1+5*(23/184)*0.00805)*9168.46</f>
        <v>9214.5888143749999</v>
      </c>
      <c r="Y9" s="3">
        <f>(1+6*(23/184)*0.00805)*9168.46</f>
        <v>9223.8145772499993</v>
      </c>
      <c r="Z9" s="3">
        <f>(1+7*(23/184)*0.00805)*9168.46</f>
        <v>9233.0403401249987</v>
      </c>
      <c r="AA9" s="3">
        <f>(1+8*(23/184)*0.00805)*9168.46</f>
        <v>9242.2661029999981</v>
      </c>
      <c r="AB9" s="3">
        <v>9179.76</v>
      </c>
      <c r="AC9" s="3">
        <f>(1+1*(23/184)*0.00805)*9179.76</f>
        <v>9188.9971335000009</v>
      </c>
      <c r="AD9" s="3">
        <f>(1+2*(23/184)*0.00805)*9179.76</f>
        <v>9198.2342669999998</v>
      </c>
      <c r="AE9" s="3">
        <f>(1+3*(23/184)*0.00805)*9179.76</f>
        <v>9207.4714005000005</v>
      </c>
      <c r="AF9" s="3">
        <f>(1+4*(23/184)*0.00805)*9179.76</f>
        <v>9216.7085339999994</v>
      </c>
      <c r="AG9" s="3">
        <f>(1+5*(23/184)*0.00805)*9179.76</f>
        <v>9225.9456675000001</v>
      </c>
      <c r="AH9" s="3">
        <f>(1+6*(23/184)*0.00805)*9179.76</f>
        <v>9235.182800999999</v>
      </c>
      <c r="AI9" s="3">
        <f>(1+7*(23/184)*0.00805)*9179.76</f>
        <v>9244.4199344999997</v>
      </c>
      <c r="AJ9" s="3">
        <f>(1+8*(23/184)*0.00805)*9179.76</f>
        <v>9253.6570679999986</v>
      </c>
      <c r="AK9" s="3">
        <v>9191.16</v>
      </c>
      <c r="AL9" s="3">
        <f>(1+1*(23/184)*0.00805)*9191.16</f>
        <v>9200.4086047500004</v>
      </c>
      <c r="AM9" s="3">
        <f>(1+2*(23/184)*0.00805)*9191.16</f>
        <v>9209.6572094999992</v>
      </c>
      <c r="AN9" s="3">
        <f>(1+3*(23/184)*0.00805)*9191.16</f>
        <v>9218.9058142499998</v>
      </c>
      <c r="AO9" s="3">
        <f>(1+4*(23/184)*0.00805)*9191.16</f>
        <v>9228.1544189999986</v>
      </c>
      <c r="AP9" s="3">
        <f>(1+5*(23/184)*0.00805)*9191.16</f>
        <v>9237.403023750001</v>
      </c>
      <c r="AQ9" s="3">
        <f>(1+6*(23/184)*0.00805)*9191.16</f>
        <v>9246.6516284999998</v>
      </c>
      <c r="AR9" s="3">
        <f>(1+7*(23/184)*0.00805)*9191.16</f>
        <v>9255.9002332500004</v>
      </c>
      <c r="AS9" s="3">
        <f>(1+8*(23/184)*0.00805)*9191.16</f>
        <v>9265.1488379999992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83A9-CE98-478D-BC9C-CEFB4774ADD5}">
  <dimension ref="A1:AS11"/>
  <sheetViews>
    <sheetView tabSelected="1" topLeftCell="A10" workbookViewId="0">
      <selection activeCell="I17" sqref="I17"/>
    </sheetView>
  </sheetViews>
  <sheetFormatPr defaultRowHeight="15" x14ac:dyDescent="0.25"/>
  <cols>
    <col min="1" max="9" width="11.85546875" style="4" customWidth="1"/>
    <col min="10" max="16384" width="9.140625" style="4"/>
  </cols>
  <sheetData>
    <row r="1" spans="1:45" x14ac:dyDescent="0.25">
      <c r="A1" s="1">
        <v>0</v>
      </c>
      <c r="B1" s="1">
        <f>23/184</f>
        <v>0.125</v>
      </c>
      <c r="C1" s="1">
        <f>2*(23/184)</f>
        <v>0.25</v>
      </c>
      <c r="D1" s="1">
        <f>3*(23/184)</f>
        <v>0.375</v>
      </c>
      <c r="E1" s="1">
        <f>4*(23/184)</f>
        <v>0.5</v>
      </c>
      <c r="F1" s="1">
        <f>5*(23/184)</f>
        <v>0.625</v>
      </c>
      <c r="G1" s="1">
        <f>6*(23/184)</f>
        <v>0.75</v>
      </c>
      <c r="H1" s="1">
        <f>7*(23/184)</f>
        <v>0.875</v>
      </c>
      <c r="I1" s="1">
        <f>8*(23/184)</f>
        <v>1</v>
      </c>
    </row>
    <row r="2" spans="1:45" x14ac:dyDescent="0.25">
      <c r="A2" s="5">
        <f>9146.12</f>
        <v>9146.1200000000008</v>
      </c>
      <c r="B2" s="5">
        <f>((1+1*(23/184)*0.00805)*(9146.12))+((23/184)*(-62.5))</f>
        <v>9147.5107832500016</v>
      </c>
      <c r="C2" s="5">
        <f>((1+2*(23/184)*0.00805)*(9146.12))+((2*(23/184))*(-62.5))</f>
        <v>9148.9015665000006</v>
      </c>
      <c r="D2" s="5">
        <f>((1+3*(23/184)*0.00805)*(9146.12))+((3*(23/184))*(-62.5))</f>
        <v>9150.2923497500014</v>
      </c>
      <c r="E2" s="5">
        <f>((1+4*(23/184)*0.00805)*(9146.12))+((4*(23/184))*(-62.5))</f>
        <v>9151.6831330000005</v>
      </c>
      <c r="F2" s="5">
        <f>((1+5*(23/184)*0.00805)*(9146.12))+((5*(23/184))*(-62.5))</f>
        <v>9153.0739162500013</v>
      </c>
      <c r="G2" s="5">
        <f>((1+6*(23/184)*0.00805)*(9146.12))+((6*(23/184))*(-62.5))</f>
        <v>9154.4646995000003</v>
      </c>
      <c r="H2" s="5">
        <f>((1+7*(23/184)*0.00805)*(9146.12))+((7*(23/184))*(-62.5))</f>
        <v>9155.8554827500011</v>
      </c>
      <c r="I2" s="5">
        <f>((1+8*(23/184)*0.00805)*(9146.12))+((8*(23/184))*(-62.5))</f>
        <v>9157.2462660000001</v>
      </c>
    </row>
    <row r="3" spans="1:45" x14ac:dyDescent="0.25">
      <c r="A3" s="5">
        <v>9157.24</v>
      </c>
      <c r="B3" s="5">
        <f>((1+1*(23/184)*0.00805)*9157.24)+((23/184)*(-62.5))</f>
        <v>9158.6419727500015</v>
      </c>
      <c r="C3" s="5">
        <f>((1+2*(23/184)*0.00805)*9157.24)+((2*(23/184))*(-62.5))</f>
        <v>9160.0439454999996</v>
      </c>
      <c r="D3" s="5">
        <f>((1+3*(23/184)*0.00805)*9157.24)+((3*(23/184))*(-62.5))</f>
        <v>9161.4459182499995</v>
      </c>
      <c r="E3" s="5">
        <f>((1+4*(23/184)*0.00805)*9157.24)+((4*(23/184))*(-62.5))</f>
        <v>9162.8478909999994</v>
      </c>
      <c r="F3" s="5">
        <f>((1+5*(23/184)*0.00805)*9157.24)+((5*(23/184))*(-62.5))</f>
        <v>9164.2498637499993</v>
      </c>
      <c r="G3" s="5">
        <f>((1+6*(23/184)*0.00805)*9157.24)+((6*(23/184))*(-62.5))</f>
        <v>9165.6518364999993</v>
      </c>
      <c r="H3" s="5">
        <f>((1+7*(23/184)*0.00805)*9157.24)+((7*(23/184))*(-62.5))</f>
        <v>9167.0538092499992</v>
      </c>
      <c r="I3" s="5">
        <f>((1+8*(23/184)*0.00805)*9157.24)+((8*(23/184))*(-62.5))</f>
        <v>9168.4557819999991</v>
      </c>
    </row>
    <row r="4" spans="1:45" x14ac:dyDescent="0.25">
      <c r="A4" s="5">
        <v>9168.4599999999991</v>
      </c>
      <c r="B4" s="5">
        <f>((1+1*(23/184)*0.00805)*9168.46)+((23/184)*(-62.5))</f>
        <v>9169.8732628750004</v>
      </c>
      <c r="C4" s="5">
        <f>((1+2*(23/184)*0.00805)*9168.46)+((2*(23/184))*(-62.5))</f>
        <v>9171.2865257499998</v>
      </c>
      <c r="D4" s="5">
        <f>((1+3*(23/184)*0.00805)*9168.46)+((3*(23/184))*(-62.5))</f>
        <v>9172.6997886249992</v>
      </c>
      <c r="E4" s="5">
        <f>((1+4*(23/184)*0.00805)*9168.46)+((4*(23/184))*(-62.5))</f>
        <v>9174.1130514999986</v>
      </c>
      <c r="F4" s="5">
        <f>((1+5*(23/184)*0.00805)*9168.46)+((5*(23/184))*(-62.5))</f>
        <v>9175.5263143749999</v>
      </c>
      <c r="G4" s="5">
        <f>((1+6*(23/184)*0.00805)*9168.46)+((6*(23/184))*(-62.5))</f>
        <v>9176.9395772499993</v>
      </c>
      <c r="H4" s="5">
        <f>((1+7*(23/184)*0.00805)*9168.46)+((7*(23/184))*(-62.5))</f>
        <v>9178.3528401249987</v>
      </c>
      <c r="I4" s="5">
        <f>((1+8*(23/184)*0.00805)*9168.46)+((8*(23/184))*(-62.5))</f>
        <v>9179.7661029999981</v>
      </c>
    </row>
    <row r="5" spans="1:45" x14ac:dyDescent="0.25">
      <c r="A5" s="5">
        <v>9179.76</v>
      </c>
      <c r="B5" s="5">
        <f>((1+1*(23/184)*0.00805)*9179.76)+((23/184)*(-62.5))</f>
        <v>9181.1846335000009</v>
      </c>
      <c r="C5" s="5">
        <f>((1+2*(23/184)*0.00805)*9179.76)+((2*(23/184))*(-62.5))</f>
        <v>9182.6092669999998</v>
      </c>
      <c r="D5" s="5">
        <f>((1+3*(23/184)*0.00805)*9179.76)+((3*(23/184))*(-62.5))</f>
        <v>9184.0339005000005</v>
      </c>
      <c r="E5" s="5">
        <f>((1+4*(23/184)*0.00805)*9179.76)+((4*(23/184))*(-62.5))</f>
        <v>9185.4585339999994</v>
      </c>
      <c r="F5" s="5">
        <f>((1+5*(23/184)*0.00805)*9179.76)+((5*(23/184))*(-62.5))</f>
        <v>9186.8831675000001</v>
      </c>
      <c r="G5" s="5">
        <f>((1+6*(23/184)*0.00805)*9179.76)+((6*(23/184))*(-62.5))</f>
        <v>9188.307800999999</v>
      </c>
      <c r="H5" s="5">
        <f>((1+7*(23/184)*0.00805)*9179.76)+((7*(23/184))*(-62.5))</f>
        <v>9189.7324344999997</v>
      </c>
      <c r="I5" s="5">
        <f>((1+8*(23/184)*0.00805)*9179.76)+((8*(23/184))*(-62.5))</f>
        <v>9191.1570679999986</v>
      </c>
    </row>
    <row r="6" spans="1:45" x14ac:dyDescent="0.25">
      <c r="A6" s="5">
        <v>9191.16</v>
      </c>
      <c r="B6" s="5">
        <f>((1+1*(23/184)*0.00805)*9191.16)+((23/184)*(-62.5))</f>
        <v>9192.5961047500004</v>
      </c>
      <c r="C6" s="5">
        <f>((1+2*(23/184)*0.00805)*9191.16)+((2*(23/184))*(-62.5))</f>
        <v>9194.0322094999992</v>
      </c>
      <c r="D6" s="5">
        <f>((1+3*(23/184)*0.00805)*9191.16)+((3*(23/184))*(-62.5))</f>
        <v>9195.4683142499998</v>
      </c>
      <c r="E6" s="5">
        <f>((1+4*(23/184)*0.00805)*9191.16)+((4*(23/184))*(-62.5))</f>
        <v>9196.9044189999986</v>
      </c>
      <c r="F6" s="5">
        <f>((1+5*(23/184)*0.00805)*9191.16)+((5*(23/184))*(-62.5))</f>
        <v>9198.340523750001</v>
      </c>
      <c r="G6" s="5">
        <f>((1+6*(23/184)*0.00805)*9191.16)+((6*(23/184))*(-62.5))</f>
        <v>9199.7766284999998</v>
      </c>
      <c r="H6" s="5">
        <f>((1+7*(23/184)*0.00805)*9191.16)+((7*(23/184))*(-62.5))</f>
        <v>9201.2127332500004</v>
      </c>
      <c r="I6" s="5">
        <f>((1+8*(23/184)*0.00805)*9191.16)+((8*(23/184))*(-62.5))</f>
        <v>9202.6488379999992</v>
      </c>
    </row>
    <row r="8" spans="1:45" x14ac:dyDescent="0.25">
      <c r="A8" s="4">
        <f>-62.5</f>
        <v>-62.5</v>
      </c>
      <c r="B8" s="4">
        <f>(23/184)*(-62.5)</f>
        <v>-7.8125</v>
      </c>
      <c r="C8" s="4">
        <f>(2*(23/184))*(-62.5)</f>
        <v>-15.625</v>
      </c>
      <c r="D8" s="4">
        <f>(3*(23/184))*(-62.5)</f>
        <v>-23.4375</v>
      </c>
      <c r="E8" s="4">
        <f>(4*(23/184))*(-62.5)</f>
        <v>-31.25</v>
      </c>
      <c r="F8" s="4">
        <f>(5*(23/184))*(-62.5)</f>
        <v>-39.0625</v>
      </c>
      <c r="G8" s="4">
        <f>(6*(23/184))*(-62.5)</f>
        <v>-46.875</v>
      </c>
      <c r="H8" s="4">
        <f>(7*(23/184))*(-62.5)</f>
        <v>-54.6875</v>
      </c>
      <c r="I8" s="4">
        <f>(8*(23/184))*(-62.5)</f>
        <v>-62.5</v>
      </c>
    </row>
    <row r="10" spans="1:45" x14ac:dyDescent="0.25">
      <c r="A10" s="4">
        <v>0</v>
      </c>
      <c r="J10" s="4">
        <v>1</v>
      </c>
      <c r="S10" s="4">
        <v>2</v>
      </c>
      <c r="AB10" s="4">
        <v>3</v>
      </c>
      <c r="AK10" s="4">
        <v>4</v>
      </c>
    </row>
    <row r="11" spans="1:45" s="6" customFormat="1" x14ac:dyDescent="0.25">
      <c r="A11" s="2">
        <f>9146.12</f>
        <v>9146.1200000000008</v>
      </c>
      <c r="B11" s="2">
        <f>((1+1*(23/184)*0.00805)*(9146.12))+((23/184)*(-62.5))</f>
        <v>9147.5107832500016</v>
      </c>
      <c r="C11" s="2">
        <f>((1+2*(23/184)*0.00805)*(9146.12))+((2*(23/184))*(-62.5))</f>
        <v>9148.9015665000006</v>
      </c>
      <c r="D11" s="2">
        <f>((1+3*(23/184)*0.00805)*(9146.12))+((3*(23/184))*(-62.5))</f>
        <v>9150.2923497500014</v>
      </c>
      <c r="E11" s="2">
        <f>((1+4*(23/184)*0.00805)*(9146.12))+((4*(23/184))*(-62.5))</f>
        <v>9151.6831330000005</v>
      </c>
      <c r="F11" s="2">
        <f>((1+5*(23/184)*0.00805)*(9146.12))+((5*(23/184))*(-62.5))</f>
        <v>9153.0739162500013</v>
      </c>
      <c r="G11" s="2">
        <f>((1+6*(23/184)*0.00805)*(9146.12))+((6*(23/184))*(-62.5))</f>
        <v>9154.4646995000003</v>
      </c>
      <c r="H11" s="2">
        <f>((1+7*(23/184)*0.00805)*(9146.12))+((7*(23/184))*(-62.5))</f>
        <v>9155.8554827500011</v>
      </c>
      <c r="I11" s="2">
        <f>((1+8*(23/184)*0.00805)*(9146.12))+((8*(23/184))*(-62.5))</f>
        <v>9157.2462660000001</v>
      </c>
      <c r="J11" s="2">
        <v>9157.24</v>
      </c>
      <c r="K11" s="2">
        <f>((1+1*(23/184)*0.00805)*9157.24)+((23/184)*(-62.5))</f>
        <v>9158.6419727500015</v>
      </c>
      <c r="L11" s="2">
        <f>((1+2*(23/184)*0.00805)*9157.24)+((2*(23/184))*(-62.5))</f>
        <v>9160.0439454999996</v>
      </c>
      <c r="M11" s="2">
        <f>((1+3*(23/184)*0.00805)*9157.24)+((3*(23/184))*(-62.5))</f>
        <v>9161.4459182499995</v>
      </c>
      <c r="N11" s="2">
        <f>((1+4*(23/184)*0.00805)*9157.24)+((4*(23/184))*(-62.5))</f>
        <v>9162.8478909999994</v>
      </c>
      <c r="O11" s="2">
        <f>((1+5*(23/184)*0.00805)*9157.24)+((5*(23/184))*(-62.5))</f>
        <v>9164.2498637499993</v>
      </c>
      <c r="P11" s="2">
        <f>((1+6*(23/184)*0.00805)*9157.24)+((6*(23/184))*(-62.5))</f>
        <v>9165.6518364999993</v>
      </c>
      <c r="Q11" s="2">
        <f>((1+7*(23/184)*0.00805)*9157.24)+((7*(23/184))*(-62.5))</f>
        <v>9167.0538092499992</v>
      </c>
      <c r="R11" s="2">
        <f>((1+8*(23/184)*0.00805)*9157.24)+((8*(23/184))*(-62.5))</f>
        <v>9168.4557819999991</v>
      </c>
      <c r="S11" s="2">
        <v>9168.4599999999991</v>
      </c>
      <c r="T11" s="2">
        <f>((1+1*(23/184)*0.00805)*9168.46)+((23/184)*(-62.5))</f>
        <v>9169.8732628750004</v>
      </c>
      <c r="U11" s="2">
        <f>((1+2*(23/184)*0.00805)*9168.46)+((2*(23/184))*(-62.5))</f>
        <v>9171.2865257499998</v>
      </c>
      <c r="V11" s="2">
        <f>((1+3*(23/184)*0.00805)*9168.46)+((3*(23/184))*(-62.5))</f>
        <v>9172.6997886249992</v>
      </c>
      <c r="W11" s="2">
        <f>((1+4*(23/184)*0.00805)*9168.46)+((4*(23/184))*(-62.5))</f>
        <v>9174.1130514999986</v>
      </c>
      <c r="X11" s="2">
        <f>((1+5*(23/184)*0.00805)*9168.46)+((5*(23/184))*(-62.5))</f>
        <v>9175.5263143749999</v>
      </c>
      <c r="Y11" s="2">
        <f>((1+6*(23/184)*0.00805)*9168.46)+((6*(23/184))*(-62.5))</f>
        <v>9176.9395772499993</v>
      </c>
      <c r="Z11" s="2">
        <f>((1+7*(23/184)*0.00805)*9168.46)+((7*(23/184))*(-62.5))</f>
        <v>9178.3528401249987</v>
      </c>
      <c r="AA11" s="2">
        <f>((1+8*(23/184)*0.00805)*9168.46)+((8*(23/184))*(-62.5))</f>
        <v>9179.7661029999981</v>
      </c>
      <c r="AB11" s="2">
        <v>9179.76</v>
      </c>
      <c r="AC11" s="2">
        <f>((1+1*(23/184)*0.00805)*9179.76)+((23/184)*(-62.5))</f>
        <v>9181.1846335000009</v>
      </c>
      <c r="AD11" s="2">
        <f>((1+2*(23/184)*0.00805)*9179.76)+((2*(23/184))*(-62.5))</f>
        <v>9182.6092669999998</v>
      </c>
      <c r="AE11" s="2">
        <f>((1+3*(23/184)*0.00805)*9179.76)+((3*(23/184))*(-62.5))</f>
        <v>9184.0339005000005</v>
      </c>
      <c r="AF11" s="2">
        <f>((1+4*(23/184)*0.00805)*9179.76)+((4*(23/184))*(-62.5))</f>
        <v>9185.4585339999994</v>
      </c>
      <c r="AG11" s="2">
        <f>((1+5*(23/184)*0.00805)*9179.76)+((5*(23/184))*(-62.5))</f>
        <v>9186.8831675000001</v>
      </c>
      <c r="AH11" s="2">
        <f>((1+6*(23/184)*0.00805)*9179.76)+((6*(23/184))*(-62.5))</f>
        <v>9188.307800999999</v>
      </c>
      <c r="AI11" s="2">
        <f>((1+7*(23/184)*0.00805)*9179.76)+((7*(23/184))*(-62.5))</f>
        <v>9189.7324344999997</v>
      </c>
      <c r="AJ11" s="2">
        <f>((1+8*(23/184)*0.00805)*9179.76)+((8*(23/184))*(-62.5))</f>
        <v>9191.1570679999986</v>
      </c>
      <c r="AK11" s="2">
        <v>9191.16</v>
      </c>
      <c r="AL11" s="2">
        <f>((1+1*(23/184)*0.00805)*9191.16)+((23/184)*(-62.5))</f>
        <v>9192.5961047500004</v>
      </c>
      <c r="AM11" s="2">
        <f>((1+2*(23/184)*0.00805)*9191.16)+((2*(23/184))*(-62.5))</f>
        <v>9194.0322094999992</v>
      </c>
      <c r="AN11" s="2">
        <f>((1+3*(23/184)*0.00805)*9191.16)+((3*(23/184))*(-62.5))</f>
        <v>9195.4683142499998</v>
      </c>
      <c r="AO11" s="2">
        <f>((1+4*(23/184)*0.00805)*9191.16)+((4*(23/184))*(-62.5))</f>
        <v>9196.9044189999986</v>
      </c>
      <c r="AP11" s="2">
        <f>((1+5*(23/184)*0.00805)*9191.16)+((5*(23/184))*(-62.5))</f>
        <v>9198.340523750001</v>
      </c>
      <c r="AQ11" s="2">
        <f>((1+6*(23/184)*0.00805)*9191.16)+((6*(23/184))*(-62.5))</f>
        <v>9199.7766284999998</v>
      </c>
      <c r="AR11" s="2">
        <f>((1+7*(23/184)*0.00805)*9191.16)+((7*(23/184))*(-62.5))</f>
        <v>9201.2127332500004</v>
      </c>
      <c r="AS11" s="2">
        <f>((1+8*(23/184)*0.00805)*9191.16)+((8*(23/184))*(-62.5))</f>
        <v>9202.6488379999992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Fratini</dc:creator>
  <cp:lastModifiedBy>Stephen Fratini</cp:lastModifiedBy>
  <dcterms:created xsi:type="dcterms:W3CDTF">2020-06-07T16:34:07Z</dcterms:created>
  <dcterms:modified xsi:type="dcterms:W3CDTF">2020-06-09T16:45:45Z</dcterms:modified>
</cp:coreProperties>
</file>